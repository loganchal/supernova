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anchalmers/Desktop/BMSC/Directed Studies/Data/"/>
    </mc:Choice>
  </mc:AlternateContent>
  <xr:revisionPtr revIDLastSave="0" documentId="13_ncr:1_{33B6150F-DC64-AD43-A7EF-7809058E91AF}" xr6:coauthVersionLast="47" xr6:coauthVersionMax="47" xr10:uidLastSave="{00000000-0000-0000-0000-000000000000}"/>
  <bookViews>
    <workbookView xWindow="1100" yWindow="820" windowWidth="23900" windowHeight="17440" xr2:uid="{9385085D-7B19-C448-9BDE-4062442570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2" i="1"/>
  <c r="L3" i="1"/>
  <c r="L4" i="1"/>
  <c r="L5" i="1"/>
  <c r="L2" i="1"/>
  <c r="K3" i="1"/>
  <c r="K4" i="1"/>
  <c r="K5" i="1"/>
  <c r="K2" i="1"/>
  <c r="I3" i="1"/>
  <c r="I4" i="1"/>
  <c r="I5" i="1"/>
  <c r="I2" i="1"/>
</calcChain>
</file>

<file path=xl/sharedStrings.xml><?xml version="1.0" encoding="utf-8"?>
<sst xmlns="http://schemas.openxmlformats.org/spreadsheetml/2006/main" count="22" uniqueCount="22">
  <si>
    <t>site</t>
  </si>
  <si>
    <t>flowmeter_start</t>
  </si>
  <si>
    <t>flowmeter_end</t>
  </si>
  <si>
    <t>imperial_eagle</t>
  </si>
  <si>
    <t>tow_salnity_ppt</t>
  </si>
  <si>
    <t>tow_temperature_c</t>
  </si>
  <si>
    <t>trevor_middle_center</t>
  </si>
  <si>
    <t>trevor_end_center</t>
  </si>
  <si>
    <t>trevor_middle_margin</t>
  </si>
  <si>
    <t>lat</t>
  </si>
  <si>
    <t>lon</t>
  </si>
  <si>
    <t>time_local</t>
  </si>
  <si>
    <t>tide_height_m</t>
  </si>
  <si>
    <t>net_diameter_cm</t>
  </si>
  <si>
    <t>flowmeter_difference</t>
  </si>
  <si>
    <t>tow_speed_cm_s</t>
  </si>
  <si>
    <t>rotor_constant</t>
  </si>
  <si>
    <t>distance_towed_m</t>
  </si>
  <si>
    <t>volume_towed_m3</t>
  </si>
  <si>
    <t>settling _volume</t>
  </si>
  <si>
    <t>species_richness</t>
  </si>
  <si>
    <t>diversity_index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</si>
</sst>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5662-9010-DC44-A16E-66BB8FD684EE}">
  <dimension ref="A1:R5"/>
  <sheetViews>
    <sheetView tabSelected="1" topLeftCell="L1" workbookViewId="0">
      <selection activeCell="P1" sqref="P1"/>
    </sheetView>
  </sheetViews>
  <sheetFormatPr baseColWidth="10" defaultRowHeight="15" x14ac:dyDescent="0.2"/>
  <cols>
    <col min="1" max="1" width="27.1640625" style="1" customWidth="1"/>
    <col min="2" max="3" width="20" style="1" customWidth="1"/>
    <col min="4" max="4" width="21.33203125" style="1" customWidth="1"/>
    <col min="5" max="5" width="24.6640625" style="1" customWidth="1"/>
    <col min="6" max="6" width="27.33203125" style="1" customWidth="1"/>
    <col min="7" max="7" width="20.33203125" style="1" customWidth="1"/>
    <col min="8" max="14" width="21.5" style="1" customWidth="1"/>
    <col min="15" max="16" width="19.6640625" style="1" customWidth="1"/>
    <col min="17" max="17" width="17.5" style="1" customWidth="1"/>
    <col min="18" max="18" width="18.1640625" style="1" customWidth="1"/>
    <col min="19" max="19" width="20.83203125" style="1" customWidth="1"/>
    <col min="20" max="16384" width="10.83203125" style="1"/>
  </cols>
  <sheetData>
    <row r="1" spans="1:18" x14ac:dyDescent="0.2">
      <c r="A1" s="1" t="s">
        <v>0</v>
      </c>
      <c r="B1" s="1" t="s">
        <v>11</v>
      </c>
      <c r="C1" s="1" t="s">
        <v>9</v>
      </c>
      <c r="D1" s="1" t="s">
        <v>10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14</v>
      </c>
      <c r="J1" s="1" t="s">
        <v>16</v>
      </c>
      <c r="K1" s="1" t="s">
        <v>17</v>
      </c>
      <c r="L1" s="1" t="s">
        <v>15</v>
      </c>
      <c r="M1" s="1" t="s">
        <v>13</v>
      </c>
      <c r="N1" s="1" t="s">
        <v>18</v>
      </c>
      <c r="O1" s="1" t="s">
        <v>12</v>
      </c>
      <c r="P1" s="1" t="s">
        <v>19</v>
      </c>
      <c r="Q1" s="1" t="s">
        <v>20</v>
      </c>
      <c r="R1" s="1" t="s">
        <v>21</v>
      </c>
    </row>
    <row r="2" spans="1:18" x14ac:dyDescent="0.2">
      <c r="A2" s="1" t="s">
        <v>3</v>
      </c>
      <c r="B2" s="2">
        <v>0.45</v>
      </c>
      <c r="C2" s="1">
        <v>48.948932999999997</v>
      </c>
      <c r="D2" s="1">
        <v>-125.105767</v>
      </c>
      <c r="E2" s="1">
        <v>29</v>
      </c>
      <c r="F2" s="1">
        <v>11.1</v>
      </c>
      <c r="G2" s="1">
        <v>183912</v>
      </c>
      <c r="H2" s="1">
        <v>188639</v>
      </c>
      <c r="I2" s="1">
        <f>H2-G2</f>
        <v>4727</v>
      </c>
      <c r="J2" s="1">
        <v>26876</v>
      </c>
      <c r="K2" s="1">
        <f>(I2*J2)/999999</f>
        <v>127.04297904297904</v>
      </c>
      <c r="L2" s="1">
        <f>(K2*100)/(5*60)</f>
        <v>42.347659680993011</v>
      </c>
      <c r="M2" s="1">
        <v>50</v>
      </c>
      <c r="N2" s="1">
        <f>((PI()*((M2/100)^2))/4)*K2</f>
        <v>24.944830603224062</v>
      </c>
      <c r="O2" s="1">
        <v>2.3780000000000001</v>
      </c>
    </row>
    <row r="3" spans="1:18" x14ac:dyDescent="0.2">
      <c r="A3" s="1" t="s">
        <v>8</v>
      </c>
      <c r="B3" s="2">
        <v>0.46944444444444444</v>
      </c>
      <c r="C3" s="1">
        <v>48.890799999999999</v>
      </c>
      <c r="D3" s="1">
        <v>-125.1164</v>
      </c>
      <c r="E3" s="1">
        <v>28.9</v>
      </c>
      <c r="F3" s="1">
        <v>11.1</v>
      </c>
      <c r="G3" s="1">
        <v>188647</v>
      </c>
      <c r="H3" s="1">
        <v>194888</v>
      </c>
      <c r="I3" s="1">
        <f t="shared" ref="I3:I5" si="0">H3-G3</f>
        <v>6241</v>
      </c>
      <c r="J3" s="1">
        <v>26876</v>
      </c>
      <c r="K3" s="1">
        <f t="shared" ref="K3:K5" si="1">(I3*J3)/999999</f>
        <v>167.73328373328374</v>
      </c>
      <c r="L3" s="1">
        <f t="shared" ref="L3:L5" si="2">(K3*100)/(5*60)</f>
        <v>55.911094577761247</v>
      </c>
      <c r="M3" s="1">
        <v>50</v>
      </c>
      <c r="N3" s="1">
        <f t="shared" ref="N3:N5" si="3">((PI()*((M3/100)^2))/4)*K3</f>
        <v>32.934353246186035</v>
      </c>
      <c r="O3" s="1">
        <v>2.5209999999999999</v>
      </c>
    </row>
    <row r="4" spans="1:18" x14ac:dyDescent="0.2">
      <c r="A4" s="1" t="s">
        <v>6</v>
      </c>
      <c r="B4" s="2">
        <v>0.48888888888888887</v>
      </c>
      <c r="C4" s="1">
        <v>48.881900000000002</v>
      </c>
      <c r="D4" s="1">
        <v>-125.1144</v>
      </c>
      <c r="E4" s="1">
        <v>29.2</v>
      </c>
      <c r="F4" s="1">
        <v>11.1</v>
      </c>
      <c r="G4" s="1">
        <v>194888</v>
      </c>
      <c r="H4" s="1">
        <v>200467</v>
      </c>
      <c r="I4" s="1">
        <f t="shared" si="0"/>
        <v>5579</v>
      </c>
      <c r="J4" s="1">
        <v>26876</v>
      </c>
      <c r="K4" s="1">
        <f t="shared" si="1"/>
        <v>149.94135394135395</v>
      </c>
      <c r="L4" s="1">
        <f t="shared" si="2"/>
        <v>49.980451313784648</v>
      </c>
      <c r="M4" s="1">
        <v>50</v>
      </c>
      <c r="N4" s="1">
        <f t="shared" si="3"/>
        <v>29.440916000716534</v>
      </c>
      <c r="O4" s="1">
        <v>2.71</v>
      </c>
    </row>
    <row r="5" spans="1:18" x14ac:dyDescent="0.2">
      <c r="A5" s="1" t="s">
        <v>7</v>
      </c>
      <c r="B5" s="2">
        <v>0.51111111111111107</v>
      </c>
      <c r="C5" s="1">
        <v>48.823599999999999</v>
      </c>
      <c r="D5" s="1">
        <v>-125.1831</v>
      </c>
      <c r="E5" s="1">
        <v>29.5</v>
      </c>
      <c r="F5" s="1">
        <v>11.1</v>
      </c>
      <c r="G5" s="1">
        <v>200471</v>
      </c>
      <c r="H5" s="1">
        <v>208140</v>
      </c>
      <c r="I5" s="1">
        <f t="shared" si="0"/>
        <v>7669</v>
      </c>
      <c r="J5" s="1">
        <v>26876</v>
      </c>
      <c r="K5" s="1">
        <f t="shared" si="1"/>
        <v>206.11225011225011</v>
      </c>
      <c r="L5" s="1">
        <f t="shared" si="2"/>
        <v>68.704083370750041</v>
      </c>
      <c r="M5" s="1">
        <v>50</v>
      </c>
      <c r="N5" s="1">
        <f t="shared" si="3"/>
        <v>40.470045672969185</v>
      </c>
      <c r="O5" s="1">
        <v>2.9089999999999998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Chalmers</dc:creator>
  <cp:lastModifiedBy>Logan Chalmers</cp:lastModifiedBy>
  <dcterms:created xsi:type="dcterms:W3CDTF">2024-11-06T17:14:34Z</dcterms:created>
  <dcterms:modified xsi:type="dcterms:W3CDTF">2024-11-06T18:24:50Z</dcterms:modified>
</cp:coreProperties>
</file>